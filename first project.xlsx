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Work\"/>
    </mc:Choice>
  </mc:AlternateContent>
  <bookViews>
    <workbookView xWindow="0" yWindow="0" windowWidth="28800" windowHeight="11865"/>
  </bookViews>
  <sheets>
    <sheet name="Sales_Analysis" sheetId="1" r:id="rId1"/>
    <sheet name="pivot_table" sheetId="2" r:id="rId2"/>
    <sheet name="Dashbord" sheetId="3" r:id="rId3"/>
  </sheets>
  <definedNames>
    <definedName name="Slicer_category">#N/A</definedName>
    <definedName name="Slicer_regi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5" i="3" l="1"/>
  <c r="A9" i="3" l="1"/>
  <c r="A3" i="3"/>
  <c r="N21" i="1"/>
  <c r="M21" i="1"/>
  <c r="L21" i="1"/>
  <c r="K21" i="1"/>
  <c r="N20" i="1"/>
  <c r="M20" i="1"/>
  <c r="L20" i="1"/>
  <c r="K20" i="1"/>
  <c r="N19" i="1"/>
  <c r="M19" i="1"/>
  <c r="L19" i="1"/>
  <c r="K19" i="1"/>
  <c r="N18" i="1"/>
  <c r="M18" i="1"/>
  <c r="L18" i="1"/>
  <c r="K18" i="1"/>
  <c r="N17" i="1"/>
  <c r="M17" i="1"/>
  <c r="L17" i="1"/>
  <c r="K17" i="1"/>
  <c r="N16" i="1"/>
  <c r="M16" i="1"/>
  <c r="L16" i="1"/>
  <c r="K16" i="1"/>
  <c r="N15" i="1"/>
  <c r="M15" i="1"/>
  <c r="L15" i="1"/>
  <c r="K15" i="1"/>
  <c r="N14" i="1"/>
  <c r="M14" i="1"/>
  <c r="L14" i="1"/>
  <c r="K14" i="1"/>
  <c r="N13" i="1"/>
  <c r="M13" i="1"/>
  <c r="L13" i="1"/>
  <c r="K13" i="1"/>
  <c r="N12" i="1"/>
  <c r="M12" i="1"/>
  <c r="L12" i="1"/>
  <c r="K12" i="1"/>
  <c r="N11" i="1"/>
  <c r="M11" i="1"/>
  <c r="L11" i="1"/>
  <c r="K11" i="1"/>
  <c r="N10" i="1"/>
  <c r="M10" i="1"/>
  <c r="L10" i="1"/>
  <c r="K10" i="1"/>
  <c r="N9" i="1"/>
  <c r="M9" i="1"/>
  <c r="L9" i="1"/>
  <c r="K9" i="1"/>
  <c r="N8" i="1"/>
  <c r="M8" i="1"/>
  <c r="L8" i="1"/>
  <c r="K8" i="1"/>
  <c r="N7" i="1"/>
  <c r="M7" i="1"/>
  <c r="L7" i="1"/>
  <c r="K7" i="1"/>
  <c r="N6" i="1"/>
  <c r="M6" i="1"/>
  <c r="L6" i="1"/>
  <c r="K6" i="1"/>
  <c r="N5" i="1"/>
  <c r="M5" i="1"/>
  <c r="L5" i="1"/>
  <c r="K5" i="1"/>
  <c r="N4" i="1"/>
  <c r="M4" i="1"/>
  <c r="L4" i="1"/>
  <c r="K4" i="1"/>
  <c r="N3" i="1"/>
  <c r="M3" i="1"/>
  <c r="L3" i="1"/>
  <c r="K3" i="1"/>
  <c r="N2" i="1"/>
  <c r="M2" i="1"/>
  <c r="L2" i="1"/>
  <c r="K2" i="1"/>
</calcChain>
</file>

<file path=xl/sharedStrings.xml><?xml version="1.0" encoding="utf-8"?>
<sst xmlns="http://schemas.openxmlformats.org/spreadsheetml/2006/main" count="136" uniqueCount="54">
  <si>
    <t>order_id</t>
  </si>
  <si>
    <t>order_date</t>
  </si>
  <si>
    <t>customer_id</t>
  </si>
  <si>
    <t>region</t>
  </si>
  <si>
    <t>product</t>
  </si>
  <si>
    <t>category</t>
  </si>
  <si>
    <t>quantity</t>
  </si>
  <si>
    <t>price</t>
  </si>
  <si>
    <t>cost</t>
  </si>
  <si>
    <t>discount</t>
  </si>
  <si>
    <t>C001</t>
  </si>
  <si>
    <t>East</t>
  </si>
  <si>
    <t>Laptop</t>
  </si>
  <si>
    <t>Technology</t>
  </si>
  <si>
    <t>C002</t>
  </si>
  <si>
    <t>West</t>
  </si>
  <si>
    <t>Phone</t>
  </si>
  <si>
    <t>C003</t>
  </si>
  <si>
    <t>North</t>
  </si>
  <si>
    <t>Chair</t>
  </si>
  <si>
    <t>Furniture</t>
  </si>
  <si>
    <t>Table</t>
  </si>
  <si>
    <t>C004</t>
  </si>
  <si>
    <t>South</t>
  </si>
  <si>
    <t>Headphones</t>
  </si>
  <si>
    <t>Monitor</t>
  </si>
  <si>
    <t>C005</t>
  </si>
  <si>
    <t>Desk</t>
  </si>
  <si>
    <t>Keyboard</t>
  </si>
  <si>
    <t>C006</t>
  </si>
  <si>
    <t>Mouse</t>
  </si>
  <si>
    <t>Sofa</t>
  </si>
  <si>
    <t>Gross_sale</t>
  </si>
  <si>
    <t>Revenue</t>
  </si>
  <si>
    <t>Profit</t>
  </si>
  <si>
    <t>Profit_margin</t>
  </si>
  <si>
    <t>Sum of Gross_sale</t>
  </si>
  <si>
    <t>Row Labels</t>
  </si>
  <si>
    <t>Grand Total</t>
  </si>
  <si>
    <t>Sum of Profit</t>
  </si>
  <si>
    <t>Jan</t>
  </si>
  <si>
    <t>Feb</t>
  </si>
  <si>
    <t>Total Revenue</t>
  </si>
  <si>
    <t>Total Profit</t>
  </si>
  <si>
    <t>Mar</t>
  </si>
  <si>
    <t>Apr</t>
  </si>
  <si>
    <t>May</t>
  </si>
  <si>
    <t>Jun</t>
  </si>
  <si>
    <t>Key Insights:</t>
  </si>
  <si>
    <t xml:space="preserve"> ..Technology category drives most revenue</t>
  </si>
  <si>
    <t xml:space="preserve"> ...February shows sales growth</t>
  </si>
  <si>
    <t xml:space="preserve"> ....High discounts reduce profitability</t>
  </si>
  <si>
    <t xml:space="preserve"> .West region generates the highest profit</t>
  </si>
  <si>
    <t>Profit Margin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</si>
</sst>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164" formatCode="&quot;$&quot;#,##0.00"/>
    <numFmt numFmtId="165" formatCode="&quot;$&quot;#,##0"/>
    <numFmt numFmtId="166" formatCode="0.0%"/>
    <numFmt numFmtId="167" formatCode="_(&quot;$&quot;* #,##0.0_);_(&quot;$&quot;* \(#,##0.0\);_(&quot;$&quot;* &quot;-&quot;??_);_(@_)"/>
  </numFmts>
  <fonts count="6" x14ac:knownFonts="1">
    <font>
      <sz val="11"/>
      <color theme="1"/>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4" tint="0.59999389629810485"/>
        <bgColor indexed="64"/>
      </patternFill>
    </fill>
    <fill>
      <patternFill patternType="solid">
        <fgColor theme="3"/>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NumberFormat="1"/>
    <xf numFmtId="0" fontId="0" fillId="0" borderId="0" xfId="0" pivotButton="1"/>
    <xf numFmtId="44" fontId="4" fillId="0" borderId="0" xfId="0" applyNumberFormat="1" applyFont="1" applyAlignment="1">
      <alignment horizontal="center"/>
    </xf>
    <xf numFmtId="0" fontId="0" fillId="0" borderId="0" xfId="0" applyAlignment="1">
      <alignment horizontal="left"/>
    </xf>
    <xf numFmtId="0" fontId="0" fillId="0" borderId="0" xfId="0" applyAlignment="1">
      <alignment horizontal="center"/>
    </xf>
    <xf numFmtId="166" fontId="0" fillId="0" borderId="0" xfId="0" applyNumberFormat="1" applyAlignment="1">
      <alignment horizontal="center"/>
    </xf>
    <xf numFmtId="14"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167" fontId="0" fillId="0" borderId="0" xfId="0" applyNumberFormat="1" applyAlignment="1">
      <alignment horizontal="center"/>
    </xf>
    <xf numFmtId="10" fontId="2" fillId="4" borderId="0" xfId="0" applyNumberFormat="1" applyFont="1" applyFill="1" applyAlignment="1">
      <alignment horizontal="center" vertical="top"/>
    </xf>
    <xf numFmtId="0" fontId="0" fillId="0" borderId="0" xfId="0" applyAlignment="1">
      <alignment horizontal="left" vertical="top" wrapText="1"/>
    </xf>
    <xf numFmtId="0" fontId="0" fillId="0" borderId="0" xfId="0" applyAlignment="1">
      <alignment horizontal="left"/>
    </xf>
    <xf numFmtId="0" fontId="1" fillId="0" borderId="0" xfId="0" applyFont="1" applyAlignment="1">
      <alignment horizontal="center" vertical="center"/>
    </xf>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164" fontId="2" fillId="3" borderId="0" xfId="0" applyNumberFormat="1" applyFont="1" applyFill="1" applyAlignment="1">
      <alignment horizontal="center" vertical="center"/>
    </xf>
    <xf numFmtId="164" fontId="3" fillId="2" borderId="0" xfId="0" applyNumberFormat="1" applyFont="1" applyFill="1" applyAlignment="1">
      <alignment horizontal="center" vertical="center"/>
    </xf>
  </cellXfs>
  <cellStyles count="1">
    <cellStyle name="Normal" xfId="0" builtinId="0"/>
  </cellStyles>
  <dxfs count="16">
    <dxf>
      <numFmt numFmtId="166" formatCode="0.0%"/>
      <alignment horizontal="center" vertical="bottom" textRotation="0" wrapText="0" indent="0" justifyLastLine="0" shrinkToFit="0" readingOrder="0"/>
    </dxf>
    <dxf>
      <numFmt numFmtId="167" formatCode="_(&quot;$&quot;* #,##0.0_);_(&quot;$&quot;* \(#,##0.0\);_(&quot;$&quot;* &quot;-&quot;??_);_(@_)"/>
      <alignment horizontal="center" vertical="bottom" textRotation="0" wrapText="0" indent="0" justifyLastLine="0" shrinkToFit="0" readingOrder="0"/>
    </dxf>
    <dxf>
      <numFmt numFmtId="167" formatCode="_(&quot;$&quot;* #,##0.0_);_(&quot;$&quot;* \(#,##0.0\);_(&quot;$&quot;* &quot;-&quot;??_);_(@_)"/>
      <alignment horizontal="center" vertical="bottom" textRotation="0" wrapText="0" indent="0" justifyLastLine="0" shrinkToFit="0" readingOrder="0"/>
    </dxf>
    <dxf>
      <numFmt numFmtId="167" formatCode="_(&quot;$&quot;* #,##0.0_);_(&quot;$&quot;* \(#,##0.0\);_(&quot;$&quot;* &quot;-&quot;??_);_(@_)"/>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5" formatCode="&quot;$&quot;#,##0"/>
      <alignment horizontal="center" vertical="bottom" textRotation="0" wrapText="0" indent="0" justifyLastLine="0" shrinkToFit="0" readingOrder="0"/>
    </dxf>
    <dxf>
      <numFmt numFmtId="165" formatCode="&quot;$&quot;#,##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project.xlsx]pivot_table!PivotTable1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Sales/Product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pivot_table!$A$2:$A$12</c:f>
              <c:strCache>
                <c:ptCount val="10"/>
                <c:pt idx="0">
                  <c:v>Chair</c:v>
                </c:pt>
                <c:pt idx="1">
                  <c:v>Desk</c:v>
                </c:pt>
                <c:pt idx="2">
                  <c:v>Headphones</c:v>
                </c:pt>
                <c:pt idx="3">
                  <c:v>Keyboard</c:v>
                </c:pt>
                <c:pt idx="4">
                  <c:v>Laptop</c:v>
                </c:pt>
                <c:pt idx="5">
                  <c:v>Monitor</c:v>
                </c:pt>
                <c:pt idx="6">
                  <c:v>Mouse</c:v>
                </c:pt>
                <c:pt idx="7">
                  <c:v>Phone</c:v>
                </c:pt>
                <c:pt idx="8">
                  <c:v>Sofa</c:v>
                </c:pt>
                <c:pt idx="9">
                  <c:v>Table</c:v>
                </c:pt>
              </c:strCache>
            </c:strRef>
          </c:cat>
          <c:val>
            <c:numRef>
              <c:f>pivot_table!$B$2:$B$12</c:f>
              <c:numCache>
                <c:formatCode>General</c:formatCode>
                <c:ptCount val="10"/>
                <c:pt idx="0">
                  <c:v>960</c:v>
                </c:pt>
                <c:pt idx="1">
                  <c:v>1200</c:v>
                </c:pt>
                <c:pt idx="2">
                  <c:v>1350</c:v>
                </c:pt>
                <c:pt idx="3">
                  <c:v>700</c:v>
                </c:pt>
                <c:pt idx="4">
                  <c:v>2400</c:v>
                </c:pt>
                <c:pt idx="5">
                  <c:v>750</c:v>
                </c:pt>
                <c:pt idx="6">
                  <c:v>450</c:v>
                </c:pt>
                <c:pt idx="7">
                  <c:v>2500</c:v>
                </c:pt>
                <c:pt idx="8">
                  <c:v>1400</c:v>
                </c:pt>
                <c:pt idx="9">
                  <c:v>900</c:v>
                </c:pt>
              </c:numCache>
            </c:numRef>
          </c:val>
          <c:extLst>
            <c:ext xmlns:c16="http://schemas.microsoft.com/office/drawing/2014/chart" uri="{C3380CC4-5D6E-409C-BE32-E72D297353CC}">
              <c16:uniqueId val="{00000000-BC1A-48CC-BE30-503F3D6A000E}"/>
            </c:ext>
          </c:extLst>
        </c:ser>
        <c:dLbls>
          <c:dLblPos val="outEnd"/>
          <c:showLegendKey val="0"/>
          <c:showVal val="1"/>
          <c:showCatName val="0"/>
          <c:showSerName val="0"/>
          <c:showPercent val="0"/>
          <c:showBubbleSize val="0"/>
        </c:dLbls>
        <c:gapWidth val="100"/>
        <c:overlap val="-24"/>
        <c:axId val="540384840"/>
        <c:axId val="540386808"/>
      </c:barChart>
      <c:catAx>
        <c:axId val="54038484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pattFill prst="pct5">
                  <a:fgClr>
                    <a:schemeClr val="lt1">
                      <a:lumMod val="85000"/>
                    </a:schemeClr>
                  </a:fgClr>
                  <a:bgClr>
                    <a:schemeClr val="bg1"/>
                  </a:bgClr>
                </a:pattFill>
                <a:latin typeface="+mn-lt"/>
                <a:ea typeface="+mn-ea"/>
                <a:cs typeface="+mn-cs"/>
              </a:defRPr>
            </a:pPr>
            <a:endParaRPr lang="en-US"/>
          </a:p>
        </c:txPr>
        <c:crossAx val="540386808"/>
        <c:crosses val="autoZero"/>
        <c:auto val="1"/>
        <c:lblAlgn val="ctr"/>
        <c:lblOffset val="100"/>
        <c:noMultiLvlLbl val="0"/>
      </c:catAx>
      <c:valAx>
        <c:axId val="5403868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384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project.xlsx]pivot_table!PivotTable2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Profit/Region</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pivot_table!$E$1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pivot_table!$D$2:$D$6</c:f>
              <c:strCache>
                <c:ptCount val="4"/>
                <c:pt idx="0">
                  <c:v>East</c:v>
                </c:pt>
                <c:pt idx="1">
                  <c:v>North</c:v>
                </c:pt>
                <c:pt idx="2">
                  <c:v>South</c:v>
                </c:pt>
                <c:pt idx="3">
                  <c:v>West</c:v>
                </c:pt>
              </c:strCache>
            </c:strRef>
          </c:cat>
          <c:val>
            <c:numRef>
              <c:f>pivot_table!$E$2:$E$6</c:f>
              <c:numCache>
                <c:formatCode>General</c:formatCode>
                <c:ptCount val="4"/>
                <c:pt idx="0">
                  <c:v>742.5</c:v>
                </c:pt>
                <c:pt idx="1">
                  <c:v>370</c:v>
                </c:pt>
                <c:pt idx="2">
                  <c:v>665</c:v>
                </c:pt>
                <c:pt idx="3">
                  <c:v>997.5</c:v>
                </c:pt>
              </c:numCache>
            </c:numRef>
          </c:val>
          <c:extLst>
            <c:ext xmlns:c16="http://schemas.microsoft.com/office/drawing/2014/chart" uri="{C3380CC4-5D6E-409C-BE32-E72D297353CC}">
              <c16:uniqueId val="{00000000-C4BD-4AD9-98E4-0D61D6B4025A}"/>
            </c:ext>
          </c:extLst>
        </c:ser>
        <c:dLbls>
          <c:dLblPos val="outEnd"/>
          <c:showLegendKey val="0"/>
          <c:showVal val="1"/>
          <c:showCatName val="0"/>
          <c:showSerName val="0"/>
          <c:showPercent val="0"/>
          <c:showBubbleSize val="0"/>
        </c:dLbls>
        <c:gapWidth val="182"/>
        <c:overlap val="-50"/>
        <c:axId val="780798400"/>
        <c:axId val="780795448"/>
      </c:barChart>
      <c:catAx>
        <c:axId val="7807984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0795448"/>
        <c:crosses val="autoZero"/>
        <c:auto val="1"/>
        <c:lblAlgn val="ctr"/>
        <c:lblOffset val="100"/>
        <c:noMultiLvlLbl val="0"/>
      </c:catAx>
      <c:valAx>
        <c:axId val="78079544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0798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project.xlsx]pivot_table!PivotTable3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Sales/Category</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pivot_table!$H$1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120-48A5-85EA-3DF4F243FF9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120-48A5-85EA-3DF4F243FF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pivot_table!$G$2:$G$4</c:f>
              <c:strCache>
                <c:ptCount val="2"/>
                <c:pt idx="0">
                  <c:v>Furniture</c:v>
                </c:pt>
                <c:pt idx="1">
                  <c:v>Technology</c:v>
                </c:pt>
              </c:strCache>
            </c:strRef>
          </c:cat>
          <c:val>
            <c:numRef>
              <c:f>pivot_table!$H$2:$H$4</c:f>
              <c:numCache>
                <c:formatCode>General</c:formatCode>
                <c:ptCount val="2"/>
                <c:pt idx="0">
                  <c:v>4460</c:v>
                </c:pt>
                <c:pt idx="1">
                  <c:v>8150</c:v>
                </c:pt>
              </c:numCache>
            </c:numRef>
          </c:val>
          <c:extLst>
            <c:ext xmlns:c16="http://schemas.microsoft.com/office/drawing/2014/chart" uri="{C3380CC4-5D6E-409C-BE32-E72D297353CC}">
              <c16:uniqueId val="{00000004-F120-48A5-85EA-3DF4F243FF90}"/>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project.xlsx]pivot_table!PivotTable4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pivot_table!$K$1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pivot_table!$J$2:$J$8</c:f>
              <c:strCache>
                <c:ptCount val="6"/>
                <c:pt idx="0">
                  <c:v>Jan</c:v>
                </c:pt>
                <c:pt idx="1">
                  <c:v>Feb</c:v>
                </c:pt>
                <c:pt idx="2">
                  <c:v>Mar</c:v>
                </c:pt>
                <c:pt idx="3">
                  <c:v>Apr</c:v>
                </c:pt>
                <c:pt idx="4">
                  <c:v>May</c:v>
                </c:pt>
                <c:pt idx="5">
                  <c:v>Jun</c:v>
                </c:pt>
              </c:strCache>
            </c:strRef>
          </c:cat>
          <c:val>
            <c:numRef>
              <c:f>pivot_table!$K$2:$K$8</c:f>
              <c:numCache>
                <c:formatCode>General</c:formatCode>
                <c:ptCount val="6"/>
                <c:pt idx="0">
                  <c:v>3700</c:v>
                </c:pt>
                <c:pt idx="1">
                  <c:v>1400</c:v>
                </c:pt>
                <c:pt idx="2">
                  <c:v>1070</c:v>
                </c:pt>
                <c:pt idx="3">
                  <c:v>2500</c:v>
                </c:pt>
                <c:pt idx="4">
                  <c:v>1410</c:v>
                </c:pt>
                <c:pt idx="5">
                  <c:v>2530</c:v>
                </c:pt>
              </c:numCache>
            </c:numRef>
          </c:val>
          <c:smooth val="0"/>
          <c:extLst>
            <c:ext xmlns:c16="http://schemas.microsoft.com/office/drawing/2014/chart" uri="{C3380CC4-5D6E-409C-BE32-E72D297353CC}">
              <c16:uniqueId val="{00000000-1402-4B5C-8CF7-2B6714725F2A}"/>
            </c:ext>
          </c:extLst>
        </c:ser>
        <c:dLbls>
          <c:dLblPos val="t"/>
          <c:showLegendKey val="0"/>
          <c:showVal val="1"/>
          <c:showCatName val="0"/>
          <c:showSerName val="0"/>
          <c:showPercent val="0"/>
          <c:showBubbleSize val="0"/>
        </c:dLbls>
        <c:smooth val="0"/>
        <c:axId val="487106344"/>
        <c:axId val="487112904"/>
      </c:lineChart>
      <c:catAx>
        <c:axId val="487106344"/>
        <c:scaling>
          <c:orientation val="minMax"/>
        </c:scaling>
        <c:delete val="0"/>
        <c:axPos val="b"/>
        <c:minorGridlines>
          <c:spPr>
            <a:ln>
              <a:solidFill>
                <a:schemeClr val="lt1">
                  <a:lumMod val="95000"/>
                  <a:alpha val="5000"/>
                </a:schemeClr>
              </a:solidFill>
            </a:ln>
            <a:effectLst/>
          </c:spPr>
        </c:minorGridlines>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outerShdw blurRad="50800" dist="50800" dir="5400000" algn="ctr" rotWithShape="0">
                    <a:schemeClr val="bg1"/>
                  </a:outerShdw>
                </a:effectLst>
                <a:latin typeface="+mn-lt"/>
                <a:ea typeface="+mn-ea"/>
                <a:cs typeface="+mn-cs"/>
              </a:defRPr>
            </a:pPr>
            <a:endParaRPr lang="en-US"/>
          </a:p>
        </c:txPr>
        <c:crossAx val="487112904"/>
        <c:crosses val="autoZero"/>
        <c:auto val="1"/>
        <c:lblAlgn val="ctr"/>
        <c:lblOffset val="100"/>
        <c:noMultiLvlLbl val="0"/>
      </c:catAx>
      <c:valAx>
        <c:axId val="487112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7106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174625</xdr:colOff>
      <xdr:row>8</xdr:row>
      <xdr:rowOff>192881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8</xdr:row>
      <xdr:rowOff>268287</xdr:rowOff>
    </xdr:from>
    <xdr:to>
      <xdr:col>10</xdr:col>
      <xdr:colOff>174625</xdr:colOff>
      <xdr:row>20</xdr:row>
      <xdr:rowOff>131762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308769</xdr:colOff>
      <xdr:row>1</xdr:row>
      <xdr:rowOff>3969</xdr:rowOff>
    </xdr:from>
    <xdr:to>
      <xdr:col>17</xdr:col>
      <xdr:colOff>352425</xdr:colOff>
      <xdr:row>8</xdr:row>
      <xdr:rowOff>192881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306388</xdr:colOff>
      <xdr:row>8</xdr:row>
      <xdr:rowOff>268287</xdr:rowOff>
    </xdr:from>
    <xdr:to>
      <xdr:col>17</xdr:col>
      <xdr:colOff>350044</xdr:colOff>
      <xdr:row>20</xdr:row>
      <xdr:rowOff>131762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507206</xdr:colOff>
      <xdr:row>8</xdr:row>
      <xdr:rowOff>268287</xdr:rowOff>
    </xdr:from>
    <xdr:to>
      <xdr:col>20</xdr:col>
      <xdr:colOff>394493</xdr:colOff>
      <xdr:row>18</xdr:row>
      <xdr:rowOff>108672</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058433" y="2757776"/>
              <a:ext cx="1835583" cy="2520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507206</xdr:colOff>
      <xdr:row>1</xdr:row>
      <xdr:rowOff>9526</xdr:rowOff>
    </xdr:from>
    <xdr:to>
      <xdr:col>20</xdr:col>
      <xdr:colOff>395287</xdr:colOff>
      <xdr:row>8</xdr:row>
      <xdr:rowOff>192882</xdr:rowOff>
    </xdr:to>
    <mc:AlternateContent xmlns:mc="http://schemas.openxmlformats.org/markup-compatibility/2006" xmlns:a14="http://schemas.microsoft.com/office/drawing/2010/main">
      <mc:Choice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058433" y="191367"/>
              <a:ext cx="1836377" cy="2491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hamed_Elbaz" refreshedDate="46138.766736805555" createdVersion="6" refreshedVersion="6" minRefreshableVersion="3" recordCount="20">
  <cacheSource type="worksheet">
    <worksheetSource name="Table1"/>
  </cacheSource>
  <cacheFields count="15">
    <cacheField name="order_id" numFmtId="0">
      <sharedItems containsSemiMixedTypes="0" containsString="0" containsNumber="1" containsInteger="1" minValue="1001" maxValue="1020"/>
    </cacheField>
    <cacheField name="order_date" numFmtId="14">
      <sharedItems containsSemiMixedTypes="0" containsNonDate="0" containsDate="1" containsString="0" minDate="2024-01-05T00:00:00" maxDate="2024-06-29T00:00:00" count="20">
        <d v="2024-01-05T00:00:00"/>
        <d v="2024-01-07T00:00:00"/>
        <d v="2024-01-10T00:00:00"/>
        <d v="2024-02-12T00:00:00"/>
        <d v="2024-02-15T00:00:00"/>
        <d v="2024-02-18T00:00:00"/>
        <d v="2024-03-20T00:00:00"/>
        <d v="2024-03-22T00:00:00"/>
        <d v="2024-03-25T00:00:00"/>
        <d v="2024-04-28T00:00:00"/>
        <d v="2024-04-02T00:00:00"/>
        <d v="2024-04-05T00:00:00"/>
        <d v="2024-05-08T00:00:00"/>
        <d v="2024-05-12T00:00:00"/>
        <d v="2024-05-15T00:00:00"/>
        <d v="2024-06-18T00:00:00"/>
        <d v="2024-06-20T00:00:00"/>
        <d v="2024-06-22T00:00:00"/>
        <d v="2024-06-25T00:00:00"/>
        <d v="2024-06-28T00:00:00"/>
      </sharedItems>
      <fieldGroup par="14" base="1">
        <rangePr groupBy="days" startDate="2024-01-05T00:00:00" endDate="2024-06-29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9/2024"/>
        </groupItems>
      </fieldGroup>
    </cacheField>
    <cacheField name="customer_id" numFmtId="0">
      <sharedItems/>
    </cacheField>
    <cacheField name="region" numFmtId="0">
      <sharedItems count="4">
        <s v="East"/>
        <s v="West"/>
        <s v="North"/>
        <s v="South"/>
      </sharedItems>
    </cacheField>
    <cacheField name="product" numFmtId="0">
      <sharedItems count="10">
        <s v="Laptop"/>
        <s v="Phone"/>
        <s v="Chair"/>
        <s v="Table"/>
        <s v="Headphones"/>
        <s v="Monitor"/>
        <s v="Desk"/>
        <s v="Keyboard"/>
        <s v="Mouse"/>
        <s v="Sofa"/>
      </sharedItems>
    </cacheField>
    <cacheField name="category" numFmtId="0">
      <sharedItems count="2">
        <s v="Technology"/>
        <s v="Furniture"/>
      </sharedItems>
    </cacheField>
    <cacheField name="quantity" numFmtId="1">
      <sharedItems containsSemiMixedTypes="0" containsString="0" containsNumber="1" containsInteger="1" minValue="1" maxValue="10"/>
    </cacheField>
    <cacheField name="price" numFmtId="165">
      <sharedItems containsSemiMixedTypes="0" containsString="0" containsNumber="1" containsInteger="1" minValue="25" maxValue="800"/>
    </cacheField>
    <cacheField name="cost" numFmtId="165">
      <sharedItems containsSemiMixedTypes="0" containsString="0" containsNumber="1" containsInteger="1" minValue="10" maxValue="600"/>
    </cacheField>
    <cacheField name="discount" numFmtId="9">
      <sharedItems containsSemiMixedTypes="0" containsString="0" containsNumber="1" minValue="0" maxValue="0.25"/>
    </cacheField>
    <cacheField name="Gross_sale" numFmtId="167">
      <sharedItems containsSemiMixedTypes="0" containsString="0" containsNumber="1" containsInteger="1" minValue="200" maxValue="1600"/>
    </cacheField>
    <cacheField name="Revenue" numFmtId="167">
      <sharedItems containsSemiMixedTypes="0" containsString="0" containsNumber="1" minValue="200" maxValue="1440"/>
    </cacheField>
    <cacheField name="Profit" numFmtId="167">
      <sharedItems containsSemiMixedTypes="0" containsString="0" containsNumber="1" minValue="25" maxValue="375"/>
    </cacheField>
    <cacheField name="Profit_margin" numFmtId="166">
      <sharedItems containsSemiMixedTypes="0" containsString="0" containsNumber="1" minValue="4.7619047619047616E-2" maxValue="0.6"/>
    </cacheField>
    <cacheField name="Months" numFmtId="0" databaseField="0">
      <fieldGroup base="1">
        <rangePr groupBy="months" startDate="2024-01-05T00:00:00" endDate="2024-06-29T00:00:00"/>
        <groupItems count="14">
          <s v="&lt;1/5/2024"/>
          <s v="Jan"/>
          <s v="Feb"/>
          <s v="Mar"/>
          <s v="Apr"/>
          <s v="May"/>
          <s v="Jun"/>
          <s v="Jul"/>
          <s v="Aug"/>
          <s v="Sep"/>
          <s v="Oct"/>
          <s v="Nov"/>
          <s v="Dec"/>
          <s v="&gt;6/29/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n v="1001"/>
    <x v="0"/>
    <s v="C001"/>
    <x v="0"/>
    <x v="0"/>
    <x v="0"/>
    <n v="2"/>
    <n v="800"/>
    <n v="600"/>
    <n v="0.1"/>
    <n v="1600"/>
    <n v="1440"/>
    <n v="240"/>
    <n v="0.16666666666666666"/>
  </r>
  <r>
    <n v="1002"/>
    <x v="1"/>
    <s v="C002"/>
    <x v="1"/>
    <x v="1"/>
    <x v="0"/>
    <n v="3"/>
    <n v="500"/>
    <n v="350"/>
    <n v="0.05"/>
    <n v="1500"/>
    <n v="1425"/>
    <n v="375"/>
    <n v="0.26315789473684209"/>
  </r>
  <r>
    <n v="1003"/>
    <x v="2"/>
    <s v="C003"/>
    <x v="2"/>
    <x v="2"/>
    <x v="1"/>
    <n v="5"/>
    <n v="120"/>
    <n v="80"/>
    <n v="0.2"/>
    <n v="600"/>
    <n v="480"/>
    <n v="80"/>
    <n v="0.16666666666666666"/>
  </r>
  <r>
    <n v="1004"/>
    <x v="3"/>
    <s v="C001"/>
    <x v="0"/>
    <x v="3"/>
    <x v="1"/>
    <n v="1"/>
    <n v="300"/>
    <n v="200"/>
    <n v="0.15"/>
    <n v="300"/>
    <n v="255"/>
    <n v="55"/>
    <n v="0.21568627450980393"/>
  </r>
  <r>
    <n v="1005"/>
    <x v="4"/>
    <s v="C004"/>
    <x v="3"/>
    <x v="4"/>
    <x v="0"/>
    <n v="4"/>
    <n v="150"/>
    <n v="90"/>
    <n v="0.1"/>
    <n v="600"/>
    <n v="540"/>
    <n v="180"/>
    <n v="0.33333333333333331"/>
  </r>
  <r>
    <n v="1006"/>
    <x v="5"/>
    <s v="C002"/>
    <x v="1"/>
    <x v="5"/>
    <x v="0"/>
    <n v="2"/>
    <n v="250"/>
    <n v="180"/>
    <n v="0.08"/>
    <n v="500"/>
    <n v="460"/>
    <n v="100"/>
    <n v="0.21739130434782608"/>
  </r>
  <r>
    <n v="1007"/>
    <x v="6"/>
    <s v="C005"/>
    <x v="2"/>
    <x v="6"/>
    <x v="1"/>
    <n v="1"/>
    <n v="400"/>
    <n v="250"/>
    <n v="0.12"/>
    <n v="400"/>
    <n v="352"/>
    <n v="102"/>
    <n v="0.28977272727272729"/>
  </r>
  <r>
    <n v="1008"/>
    <x v="7"/>
    <s v="C003"/>
    <x v="3"/>
    <x v="7"/>
    <x v="0"/>
    <n v="6"/>
    <n v="70"/>
    <n v="40"/>
    <n v="0.05"/>
    <n v="420"/>
    <n v="399"/>
    <n v="159"/>
    <n v="0.39849624060150374"/>
  </r>
  <r>
    <n v="1009"/>
    <x v="8"/>
    <s v="C006"/>
    <x v="0"/>
    <x v="8"/>
    <x v="0"/>
    <n v="10"/>
    <n v="25"/>
    <n v="10"/>
    <n v="0"/>
    <n v="250"/>
    <n v="250"/>
    <n v="150"/>
    <n v="0.6"/>
  </r>
  <r>
    <n v="1010"/>
    <x v="9"/>
    <s v="C004"/>
    <x v="1"/>
    <x v="9"/>
    <x v="1"/>
    <n v="1"/>
    <n v="700"/>
    <n v="500"/>
    <n v="0.2"/>
    <n v="700"/>
    <n v="560"/>
    <n v="60"/>
    <n v="0.10714285714285714"/>
  </r>
  <r>
    <n v="1011"/>
    <x v="10"/>
    <s v="C001"/>
    <x v="0"/>
    <x v="0"/>
    <x v="0"/>
    <n v="1"/>
    <n v="800"/>
    <n v="600"/>
    <n v="0.1"/>
    <n v="800"/>
    <n v="720"/>
    <n v="120"/>
    <n v="0.16666666666666666"/>
  </r>
  <r>
    <n v="1012"/>
    <x v="11"/>
    <s v="C002"/>
    <x v="1"/>
    <x v="1"/>
    <x v="0"/>
    <n v="2"/>
    <n v="500"/>
    <n v="350"/>
    <n v="0.05"/>
    <n v="1000"/>
    <n v="950"/>
    <n v="250"/>
    <n v="0.26315789473684209"/>
  </r>
  <r>
    <n v="1013"/>
    <x v="12"/>
    <s v="C003"/>
    <x v="2"/>
    <x v="2"/>
    <x v="1"/>
    <n v="3"/>
    <n v="120"/>
    <n v="80"/>
    <n v="0.2"/>
    <n v="360"/>
    <n v="288"/>
    <n v="48"/>
    <n v="0.16666666666666666"/>
  </r>
  <r>
    <n v="1014"/>
    <x v="13"/>
    <s v="C005"/>
    <x v="3"/>
    <x v="6"/>
    <x v="1"/>
    <n v="2"/>
    <n v="400"/>
    <n v="250"/>
    <n v="0.1"/>
    <n v="800"/>
    <n v="720"/>
    <n v="220"/>
    <n v="0.30555555555555558"/>
  </r>
  <r>
    <n v="1015"/>
    <x v="14"/>
    <s v="C006"/>
    <x v="0"/>
    <x v="5"/>
    <x v="0"/>
    <n v="1"/>
    <n v="250"/>
    <n v="180"/>
    <n v="0.05"/>
    <n v="250"/>
    <n v="237.5"/>
    <n v="57.5"/>
    <n v="0.24210526315789474"/>
  </r>
  <r>
    <n v="1016"/>
    <x v="15"/>
    <s v="C004"/>
    <x v="1"/>
    <x v="4"/>
    <x v="0"/>
    <n v="5"/>
    <n v="150"/>
    <n v="90"/>
    <n v="0.15"/>
    <n v="750"/>
    <n v="637.5"/>
    <n v="187.5"/>
    <n v="0.29411764705882354"/>
  </r>
  <r>
    <n v="1017"/>
    <x v="16"/>
    <s v="C001"/>
    <x v="2"/>
    <x v="3"/>
    <x v="1"/>
    <n v="2"/>
    <n v="300"/>
    <n v="200"/>
    <n v="0.1"/>
    <n v="600"/>
    <n v="540"/>
    <n v="140"/>
    <n v="0.25925925925925924"/>
  </r>
  <r>
    <n v="1018"/>
    <x v="17"/>
    <s v="C002"/>
    <x v="3"/>
    <x v="7"/>
    <x v="0"/>
    <n v="4"/>
    <n v="70"/>
    <n v="40"/>
    <n v="0.05"/>
    <n v="280"/>
    <n v="266"/>
    <n v="106"/>
    <n v="0.39849624060150374"/>
  </r>
  <r>
    <n v="1019"/>
    <x v="18"/>
    <s v="C003"/>
    <x v="0"/>
    <x v="8"/>
    <x v="0"/>
    <n v="8"/>
    <n v="25"/>
    <n v="10"/>
    <n v="0"/>
    <n v="200"/>
    <n v="200"/>
    <n v="120"/>
    <n v="0.6"/>
  </r>
  <r>
    <n v="1020"/>
    <x v="19"/>
    <s v="C005"/>
    <x v="1"/>
    <x v="9"/>
    <x v="1"/>
    <n v="1"/>
    <n v="700"/>
    <n v="500"/>
    <n v="0.25"/>
    <n v="700"/>
    <n v="525"/>
    <n v="25"/>
    <n v="4.761904761904761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12"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0"/>
        <item x="2"/>
        <item x="3"/>
        <item x="1"/>
        <item t="default"/>
      </items>
    </pivotField>
    <pivotField axis="axisRow" showAll="0">
      <items count="11">
        <item x="2"/>
        <item x="6"/>
        <item x="4"/>
        <item x="7"/>
        <item x="0"/>
        <item x="5"/>
        <item x="8"/>
        <item x="1"/>
        <item x="9"/>
        <item x="3"/>
        <item t="default"/>
      </items>
    </pivotField>
    <pivotField showAll="0">
      <items count="3">
        <item x="1"/>
        <item x="0"/>
        <item t="default"/>
      </items>
    </pivotField>
    <pivotField numFmtId="1" showAll="0"/>
    <pivotField numFmtId="165" showAll="0"/>
    <pivotField numFmtId="165" showAll="0"/>
    <pivotField numFmtId="9" showAll="0"/>
    <pivotField dataField="1" numFmtId="167" showAll="0"/>
    <pivotField numFmtId="167" showAll="0"/>
    <pivotField numFmtId="167" showAll="0"/>
    <pivotField numFmtId="166" showAll="0"/>
    <pivotField showAll="0" defaultSubtotal="0">
      <items count="14">
        <item x="0"/>
        <item x="1"/>
        <item x="2"/>
        <item x="3"/>
        <item x="4"/>
        <item x="5"/>
        <item x="6"/>
        <item x="7"/>
        <item x="8"/>
        <item x="9"/>
        <item x="10"/>
        <item x="11"/>
        <item x="12"/>
        <item x="13"/>
      </items>
    </pivotField>
  </pivotFields>
  <rowFields count="1">
    <field x="4"/>
  </rowFields>
  <rowItems count="11">
    <i>
      <x/>
    </i>
    <i>
      <x v="1"/>
    </i>
    <i>
      <x v="2"/>
    </i>
    <i>
      <x v="3"/>
    </i>
    <i>
      <x v="4"/>
    </i>
    <i>
      <x v="5"/>
    </i>
    <i>
      <x v="6"/>
    </i>
    <i>
      <x v="7"/>
    </i>
    <i>
      <x v="8"/>
    </i>
    <i>
      <x v="9"/>
    </i>
    <i t="grand">
      <x/>
    </i>
  </rowItems>
  <colItems count="1">
    <i/>
  </colItems>
  <dataFields count="1">
    <dataField name="Sum of Gross_sale" fld="10" baseField="0"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1:K8" firstHeaderRow="1" firstDataRow="1" firstDataCol="1"/>
  <pivotFields count="15">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0"/>
        <item x="2"/>
        <item x="3"/>
        <item x="1"/>
        <item t="default"/>
      </items>
    </pivotField>
    <pivotField showAll="0"/>
    <pivotField showAll="0">
      <items count="3">
        <item x="1"/>
        <item x="0"/>
        <item t="default"/>
      </items>
    </pivotField>
    <pivotField numFmtId="1" showAll="0"/>
    <pivotField numFmtId="165" showAll="0"/>
    <pivotField numFmtId="165" showAll="0"/>
    <pivotField numFmtId="9" showAll="0"/>
    <pivotField dataField="1" numFmtId="167" showAll="0"/>
    <pivotField numFmtId="167" showAll="0"/>
    <pivotField numFmtId="167" showAll="0"/>
    <pivotField numFmtId="166"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4"/>
    <field x="1"/>
  </rowFields>
  <rowItems count="7">
    <i>
      <x v="1"/>
    </i>
    <i>
      <x v="2"/>
    </i>
    <i>
      <x v="3"/>
    </i>
    <i>
      <x v="4"/>
    </i>
    <i>
      <x v="5"/>
    </i>
    <i>
      <x v="6"/>
    </i>
    <i t="grand">
      <x/>
    </i>
  </rowItems>
  <colItems count="1">
    <i/>
  </colItems>
  <dataFields count="1">
    <dataField name="Sum of Gross_sale" fld="10" baseField="0" baseItem="0"/>
  </dataFields>
  <chartFormats count="1">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1:H4"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0"/>
        <item x="2"/>
        <item x="3"/>
        <item x="1"/>
        <item t="default"/>
      </items>
    </pivotField>
    <pivotField showAll="0"/>
    <pivotField axis="axisRow" showAll="0">
      <items count="3">
        <item x="1"/>
        <item x="0"/>
        <item t="default"/>
      </items>
    </pivotField>
    <pivotField numFmtId="1" showAll="0"/>
    <pivotField numFmtId="165" showAll="0"/>
    <pivotField numFmtId="165" showAll="0"/>
    <pivotField numFmtId="9" showAll="0"/>
    <pivotField dataField="1" numFmtId="167" showAll="0"/>
    <pivotField numFmtId="167" showAll="0"/>
    <pivotField numFmtId="167" showAll="0"/>
    <pivotField numFmtId="166" showAll="0"/>
    <pivotField showAll="0" defaultSubtotal="0">
      <items count="14">
        <item x="0"/>
        <item x="1"/>
        <item x="2"/>
        <item x="3"/>
        <item x="4"/>
        <item x="5"/>
        <item x="6"/>
        <item x="7"/>
        <item x="8"/>
        <item x="9"/>
        <item x="10"/>
        <item x="11"/>
        <item x="12"/>
        <item x="13"/>
      </items>
    </pivotField>
  </pivotFields>
  <rowFields count="1">
    <field x="5"/>
  </rowFields>
  <rowItems count="3">
    <i>
      <x/>
    </i>
    <i>
      <x v="1"/>
    </i>
    <i t="grand">
      <x/>
    </i>
  </rowItems>
  <colItems count="1">
    <i/>
  </colItems>
  <dataFields count="1">
    <dataField name="Sum of Gross_sale" fld="10" baseField="0" baseItem="0"/>
  </dataFields>
  <chartFormats count="3">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5" count="1" selected="0">
            <x v="0"/>
          </reference>
        </references>
      </pivotArea>
    </chartFormat>
    <chartFormat chart="3" format="17">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E6"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0"/>
        <item x="2"/>
        <item x="3"/>
        <item x="1"/>
        <item t="default"/>
      </items>
    </pivotField>
    <pivotField showAll="0"/>
    <pivotField showAll="0">
      <items count="3">
        <item x="1"/>
        <item x="0"/>
        <item t="default"/>
      </items>
    </pivotField>
    <pivotField numFmtId="1" showAll="0"/>
    <pivotField numFmtId="165" showAll="0"/>
    <pivotField numFmtId="165" showAll="0"/>
    <pivotField numFmtId="9" showAll="0"/>
    <pivotField numFmtId="167" showAll="0"/>
    <pivotField numFmtId="167" showAll="0"/>
    <pivotField dataField="1" numFmtId="167" showAll="0"/>
    <pivotField numFmtId="166" showAl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Profit" fld="12"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3"/>
    <pivotTable tabId="2" name="PivotTable4"/>
    <pivotTable tabId="2" name="PivotTable2"/>
  </pivotTables>
  <data>
    <tabular pivotCacheId="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2" name="PivotTable3"/>
    <pivotTable tabId="2" name="PivotTable4"/>
    <pivotTable tabId="2" name="PivotTable2"/>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ables/table1.xml><?xml version="1.0" encoding="utf-8"?>
<table xmlns="http://schemas.openxmlformats.org/spreadsheetml/2006/main" id="1" name="Table1" displayName="Table1" ref="A1:N21" totalsRowShown="0" headerRowDxfId="15" dataDxfId="14">
  <autoFilter ref="A1:N21"/>
  <tableColumns count="14">
    <tableColumn id="1" name="order_id" dataDxfId="13"/>
    <tableColumn id="2" name="order_date" dataDxfId="12"/>
    <tableColumn id="3" name="customer_id" dataDxfId="11"/>
    <tableColumn id="4" name="region" dataDxfId="10"/>
    <tableColumn id="5" name="product" dataDxfId="9"/>
    <tableColumn id="6" name="category" dataDxfId="8"/>
    <tableColumn id="7" name="quantity" dataDxfId="7"/>
    <tableColumn id="8" name="price" dataDxfId="6"/>
    <tableColumn id="9" name="cost" dataDxfId="5"/>
    <tableColumn id="10" name="discount" dataDxfId="4"/>
    <tableColumn id="11" name="Gross_sale" dataDxfId="3">
      <calculatedColumnFormula>Table1[[#This Row],[quantity]]*Table1[[#This Row],[price]]</calculatedColumnFormula>
    </tableColumn>
    <tableColumn id="12" name="Revenue" dataDxfId="2">
      <calculatedColumnFormula>Table1[[#This Row],[Gross_sale]]*(1-Table1[[#This Row],[discount]])</calculatedColumnFormula>
    </tableColumn>
    <tableColumn id="13" name="Profit" dataDxfId="1">
      <calculatedColumnFormula>Table1[[#This Row],[Revenue]]-(Table1[[#This Row],[quantity]]*Table1[[#This Row],[cost]])</calculatedColumnFormula>
    </tableColumn>
    <tableColumn id="14" name="Profit_margin" dataDxfId="0">
      <calculatedColumnFormula>Table1[[#This Row],[Profit]]/Table1[[#This Row],[Revenue]]</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tabSelected="1" workbookViewId="0">
      <selection activeCell="C10" sqref="C10"/>
    </sheetView>
  </sheetViews>
  <sheetFormatPr defaultRowHeight="14.25" x14ac:dyDescent="0.45"/>
  <cols>
    <col min="1" max="1" width="9.86328125" style="5" bestFit="1" customWidth="1"/>
    <col min="2" max="2" width="12" style="5" bestFit="1" customWidth="1"/>
    <col min="3" max="3" width="13.06640625" style="5" bestFit="1" customWidth="1"/>
    <col min="4" max="4" width="8.1328125" style="5" bestFit="1" customWidth="1"/>
    <col min="5" max="5" width="10.46484375" style="5" bestFit="1" customWidth="1"/>
    <col min="6" max="6" width="9.9296875" style="5" bestFit="1" customWidth="1"/>
    <col min="7" max="7" width="9.796875" style="5" bestFit="1" customWidth="1"/>
    <col min="8" max="8" width="6.9296875" style="5" bestFit="1" customWidth="1"/>
    <col min="9" max="9" width="6.265625" style="5" bestFit="1" customWidth="1"/>
    <col min="10" max="10" width="9.9296875" style="5" bestFit="1" customWidth="1"/>
    <col min="11" max="11" width="11.59765625" style="5" bestFit="1" customWidth="1"/>
    <col min="12" max="12" width="10.06640625" style="5" bestFit="1" customWidth="1"/>
    <col min="13" max="13" width="7.3984375" style="5" bestFit="1" customWidth="1"/>
    <col min="14" max="14" width="14" style="5" bestFit="1" customWidth="1"/>
  </cols>
  <sheetData>
    <row r="1" spans="1:14" x14ac:dyDescent="0.45">
      <c r="A1" s="5" t="s">
        <v>0</v>
      </c>
      <c r="B1" s="5" t="s">
        <v>1</v>
      </c>
      <c r="C1" s="5" t="s">
        <v>2</v>
      </c>
      <c r="D1" s="5" t="s">
        <v>3</v>
      </c>
      <c r="E1" s="5" t="s">
        <v>4</v>
      </c>
      <c r="F1" s="5" t="s">
        <v>5</v>
      </c>
      <c r="G1" s="5" t="s">
        <v>6</v>
      </c>
      <c r="H1" s="5" t="s">
        <v>7</v>
      </c>
      <c r="I1" s="5" t="s">
        <v>8</v>
      </c>
      <c r="J1" s="5" t="s">
        <v>9</v>
      </c>
      <c r="K1" s="5" t="s">
        <v>32</v>
      </c>
      <c r="L1" s="5" t="s">
        <v>33</v>
      </c>
      <c r="M1" s="5" t="s">
        <v>34</v>
      </c>
      <c r="N1" s="5" t="s">
        <v>35</v>
      </c>
    </row>
    <row r="2" spans="1:14" x14ac:dyDescent="0.45">
      <c r="A2" s="5">
        <v>1001</v>
      </c>
      <c r="B2" s="7">
        <v>45296</v>
      </c>
      <c r="C2" s="5" t="s">
        <v>10</v>
      </c>
      <c r="D2" s="5" t="s">
        <v>11</v>
      </c>
      <c r="E2" s="5" t="s">
        <v>12</v>
      </c>
      <c r="F2" s="5" t="s">
        <v>13</v>
      </c>
      <c r="G2" s="8">
        <v>2</v>
      </c>
      <c r="H2" s="9">
        <v>800</v>
      </c>
      <c r="I2" s="9">
        <v>600</v>
      </c>
      <c r="J2" s="10">
        <v>0.1</v>
      </c>
      <c r="K2" s="11">
        <f>Table1[[#This Row],[quantity]]*Table1[[#This Row],[price]]</f>
        <v>1600</v>
      </c>
      <c r="L2" s="11">
        <f>Table1[[#This Row],[Gross_sale]]*(1-Table1[[#This Row],[discount]])</f>
        <v>1440</v>
      </c>
      <c r="M2" s="11">
        <f>Table1[[#This Row],[Revenue]]-(Table1[[#This Row],[quantity]]*Table1[[#This Row],[cost]])</f>
        <v>240</v>
      </c>
      <c r="N2" s="6">
        <f>Table1[[#This Row],[Profit]]/Table1[[#This Row],[Revenue]]</f>
        <v>0.16666666666666666</v>
      </c>
    </row>
    <row r="3" spans="1:14" x14ac:dyDescent="0.45">
      <c r="A3" s="5">
        <v>1002</v>
      </c>
      <c r="B3" s="7">
        <v>45298</v>
      </c>
      <c r="C3" s="5" t="s">
        <v>14</v>
      </c>
      <c r="D3" s="5" t="s">
        <v>15</v>
      </c>
      <c r="E3" s="5" t="s">
        <v>16</v>
      </c>
      <c r="F3" s="5" t="s">
        <v>13</v>
      </c>
      <c r="G3" s="8">
        <v>3</v>
      </c>
      <c r="H3" s="9">
        <v>500</v>
      </c>
      <c r="I3" s="9">
        <v>350</v>
      </c>
      <c r="J3" s="10">
        <v>0.05</v>
      </c>
      <c r="K3" s="11">
        <f>Table1[[#This Row],[quantity]]*Table1[[#This Row],[price]]</f>
        <v>1500</v>
      </c>
      <c r="L3" s="11">
        <f>Table1[[#This Row],[Gross_sale]]*(1-Table1[[#This Row],[discount]])</f>
        <v>1425</v>
      </c>
      <c r="M3" s="11">
        <f>Table1[[#This Row],[Revenue]]-(Table1[[#This Row],[quantity]]*Table1[[#This Row],[cost]])</f>
        <v>375</v>
      </c>
      <c r="N3" s="6">
        <f>Table1[[#This Row],[Profit]]/Table1[[#This Row],[Revenue]]</f>
        <v>0.26315789473684209</v>
      </c>
    </row>
    <row r="4" spans="1:14" x14ac:dyDescent="0.45">
      <c r="A4" s="5">
        <v>1003</v>
      </c>
      <c r="B4" s="7">
        <v>45301</v>
      </c>
      <c r="C4" s="5" t="s">
        <v>17</v>
      </c>
      <c r="D4" s="5" t="s">
        <v>18</v>
      </c>
      <c r="E4" s="5" t="s">
        <v>19</v>
      </c>
      <c r="F4" s="5" t="s">
        <v>20</v>
      </c>
      <c r="G4" s="8">
        <v>5</v>
      </c>
      <c r="H4" s="9">
        <v>120</v>
      </c>
      <c r="I4" s="9">
        <v>80</v>
      </c>
      <c r="J4" s="10">
        <v>0.2</v>
      </c>
      <c r="K4" s="11">
        <f>Table1[[#This Row],[quantity]]*Table1[[#This Row],[price]]</f>
        <v>600</v>
      </c>
      <c r="L4" s="11">
        <f>Table1[[#This Row],[Gross_sale]]*(1-Table1[[#This Row],[discount]])</f>
        <v>480</v>
      </c>
      <c r="M4" s="11">
        <f>Table1[[#This Row],[Revenue]]-(Table1[[#This Row],[quantity]]*Table1[[#This Row],[cost]])</f>
        <v>80</v>
      </c>
      <c r="N4" s="6">
        <f>Table1[[#This Row],[Profit]]/Table1[[#This Row],[Revenue]]</f>
        <v>0.16666666666666666</v>
      </c>
    </row>
    <row r="5" spans="1:14" x14ac:dyDescent="0.45">
      <c r="A5" s="5">
        <v>1004</v>
      </c>
      <c r="B5" s="7">
        <v>45334</v>
      </c>
      <c r="C5" s="5" t="s">
        <v>10</v>
      </c>
      <c r="D5" s="5" t="s">
        <v>11</v>
      </c>
      <c r="E5" s="5" t="s">
        <v>21</v>
      </c>
      <c r="F5" s="5" t="s">
        <v>20</v>
      </c>
      <c r="G5" s="8">
        <v>1</v>
      </c>
      <c r="H5" s="9">
        <v>300</v>
      </c>
      <c r="I5" s="9">
        <v>200</v>
      </c>
      <c r="J5" s="10">
        <v>0.15</v>
      </c>
      <c r="K5" s="11">
        <f>Table1[[#This Row],[quantity]]*Table1[[#This Row],[price]]</f>
        <v>300</v>
      </c>
      <c r="L5" s="11">
        <f>Table1[[#This Row],[Gross_sale]]*(1-Table1[[#This Row],[discount]])</f>
        <v>255</v>
      </c>
      <c r="M5" s="11">
        <f>Table1[[#This Row],[Revenue]]-(Table1[[#This Row],[quantity]]*Table1[[#This Row],[cost]])</f>
        <v>55</v>
      </c>
      <c r="N5" s="6">
        <f>Table1[[#This Row],[Profit]]/Table1[[#This Row],[Revenue]]</f>
        <v>0.21568627450980393</v>
      </c>
    </row>
    <row r="6" spans="1:14" x14ac:dyDescent="0.45">
      <c r="A6" s="5">
        <v>1005</v>
      </c>
      <c r="B6" s="7">
        <v>45337</v>
      </c>
      <c r="C6" s="5" t="s">
        <v>22</v>
      </c>
      <c r="D6" s="5" t="s">
        <v>23</v>
      </c>
      <c r="E6" s="5" t="s">
        <v>24</v>
      </c>
      <c r="F6" s="5" t="s">
        <v>13</v>
      </c>
      <c r="G6" s="8">
        <v>4</v>
      </c>
      <c r="H6" s="9">
        <v>150</v>
      </c>
      <c r="I6" s="9">
        <v>90</v>
      </c>
      <c r="J6" s="10">
        <v>0.1</v>
      </c>
      <c r="K6" s="11">
        <f>Table1[[#This Row],[quantity]]*Table1[[#This Row],[price]]</f>
        <v>600</v>
      </c>
      <c r="L6" s="11">
        <f>Table1[[#This Row],[Gross_sale]]*(1-Table1[[#This Row],[discount]])</f>
        <v>540</v>
      </c>
      <c r="M6" s="11">
        <f>Table1[[#This Row],[Revenue]]-(Table1[[#This Row],[quantity]]*Table1[[#This Row],[cost]])</f>
        <v>180</v>
      </c>
      <c r="N6" s="6">
        <f>Table1[[#This Row],[Profit]]/Table1[[#This Row],[Revenue]]</f>
        <v>0.33333333333333331</v>
      </c>
    </row>
    <row r="7" spans="1:14" x14ac:dyDescent="0.45">
      <c r="A7" s="5">
        <v>1006</v>
      </c>
      <c r="B7" s="7">
        <v>45340</v>
      </c>
      <c r="C7" s="5" t="s">
        <v>14</v>
      </c>
      <c r="D7" s="5" t="s">
        <v>15</v>
      </c>
      <c r="E7" s="5" t="s">
        <v>25</v>
      </c>
      <c r="F7" s="5" t="s">
        <v>13</v>
      </c>
      <c r="G7" s="8">
        <v>2</v>
      </c>
      <c r="H7" s="9">
        <v>250</v>
      </c>
      <c r="I7" s="9">
        <v>180</v>
      </c>
      <c r="J7" s="10">
        <v>0.08</v>
      </c>
      <c r="K7" s="11">
        <f>Table1[[#This Row],[quantity]]*Table1[[#This Row],[price]]</f>
        <v>500</v>
      </c>
      <c r="L7" s="11">
        <f>Table1[[#This Row],[Gross_sale]]*(1-Table1[[#This Row],[discount]])</f>
        <v>460</v>
      </c>
      <c r="M7" s="11">
        <f>Table1[[#This Row],[Revenue]]-(Table1[[#This Row],[quantity]]*Table1[[#This Row],[cost]])</f>
        <v>100</v>
      </c>
      <c r="N7" s="6">
        <f>Table1[[#This Row],[Profit]]/Table1[[#This Row],[Revenue]]</f>
        <v>0.21739130434782608</v>
      </c>
    </row>
    <row r="8" spans="1:14" x14ac:dyDescent="0.45">
      <c r="A8" s="5">
        <v>1007</v>
      </c>
      <c r="B8" s="7">
        <v>45371</v>
      </c>
      <c r="C8" s="5" t="s">
        <v>26</v>
      </c>
      <c r="D8" s="5" t="s">
        <v>18</v>
      </c>
      <c r="E8" s="5" t="s">
        <v>27</v>
      </c>
      <c r="F8" s="5" t="s">
        <v>20</v>
      </c>
      <c r="G8" s="8">
        <v>1</v>
      </c>
      <c r="H8" s="9">
        <v>400</v>
      </c>
      <c r="I8" s="9">
        <v>250</v>
      </c>
      <c r="J8" s="10">
        <v>0.12</v>
      </c>
      <c r="K8" s="11">
        <f>Table1[[#This Row],[quantity]]*Table1[[#This Row],[price]]</f>
        <v>400</v>
      </c>
      <c r="L8" s="11">
        <f>Table1[[#This Row],[Gross_sale]]*(1-Table1[[#This Row],[discount]])</f>
        <v>352</v>
      </c>
      <c r="M8" s="11">
        <f>Table1[[#This Row],[Revenue]]-(Table1[[#This Row],[quantity]]*Table1[[#This Row],[cost]])</f>
        <v>102</v>
      </c>
      <c r="N8" s="6">
        <f>Table1[[#This Row],[Profit]]/Table1[[#This Row],[Revenue]]</f>
        <v>0.28977272727272729</v>
      </c>
    </row>
    <row r="9" spans="1:14" x14ac:dyDescent="0.45">
      <c r="A9" s="5">
        <v>1008</v>
      </c>
      <c r="B9" s="7">
        <v>45373</v>
      </c>
      <c r="C9" s="5" t="s">
        <v>17</v>
      </c>
      <c r="D9" s="5" t="s">
        <v>23</v>
      </c>
      <c r="E9" s="5" t="s">
        <v>28</v>
      </c>
      <c r="F9" s="5" t="s">
        <v>13</v>
      </c>
      <c r="G9" s="8">
        <v>6</v>
      </c>
      <c r="H9" s="9">
        <v>70</v>
      </c>
      <c r="I9" s="9">
        <v>40</v>
      </c>
      <c r="J9" s="10">
        <v>0.05</v>
      </c>
      <c r="K9" s="11">
        <f>Table1[[#This Row],[quantity]]*Table1[[#This Row],[price]]</f>
        <v>420</v>
      </c>
      <c r="L9" s="11">
        <f>Table1[[#This Row],[Gross_sale]]*(1-Table1[[#This Row],[discount]])</f>
        <v>399</v>
      </c>
      <c r="M9" s="11">
        <f>Table1[[#This Row],[Revenue]]-(Table1[[#This Row],[quantity]]*Table1[[#This Row],[cost]])</f>
        <v>159</v>
      </c>
      <c r="N9" s="6">
        <f>Table1[[#This Row],[Profit]]/Table1[[#This Row],[Revenue]]</f>
        <v>0.39849624060150374</v>
      </c>
    </row>
    <row r="10" spans="1:14" x14ac:dyDescent="0.45">
      <c r="A10" s="5">
        <v>1009</v>
      </c>
      <c r="B10" s="7">
        <v>45376</v>
      </c>
      <c r="C10" s="5" t="s">
        <v>29</v>
      </c>
      <c r="D10" s="5" t="s">
        <v>11</v>
      </c>
      <c r="E10" s="5" t="s">
        <v>30</v>
      </c>
      <c r="F10" s="5" t="s">
        <v>13</v>
      </c>
      <c r="G10" s="8">
        <v>10</v>
      </c>
      <c r="H10" s="9">
        <v>25</v>
      </c>
      <c r="I10" s="9">
        <v>10</v>
      </c>
      <c r="J10" s="10">
        <v>0</v>
      </c>
      <c r="K10" s="11">
        <f>Table1[[#This Row],[quantity]]*Table1[[#This Row],[price]]</f>
        <v>250</v>
      </c>
      <c r="L10" s="11">
        <f>Table1[[#This Row],[Gross_sale]]*(1-Table1[[#This Row],[discount]])</f>
        <v>250</v>
      </c>
      <c r="M10" s="11">
        <f>Table1[[#This Row],[Revenue]]-(Table1[[#This Row],[quantity]]*Table1[[#This Row],[cost]])</f>
        <v>150</v>
      </c>
      <c r="N10" s="6">
        <f>Table1[[#This Row],[Profit]]/Table1[[#This Row],[Revenue]]</f>
        <v>0.6</v>
      </c>
    </row>
    <row r="11" spans="1:14" x14ac:dyDescent="0.45">
      <c r="A11" s="5">
        <v>1010</v>
      </c>
      <c r="B11" s="7">
        <v>45410</v>
      </c>
      <c r="C11" s="5" t="s">
        <v>22</v>
      </c>
      <c r="D11" s="5" t="s">
        <v>15</v>
      </c>
      <c r="E11" s="5" t="s">
        <v>31</v>
      </c>
      <c r="F11" s="5" t="s">
        <v>20</v>
      </c>
      <c r="G11" s="8">
        <v>1</v>
      </c>
      <c r="H11" s="9">
        <v>700</v>
      </c>
      <c r="I11" s="9">
        <v>500</v>
      </c>
      <c r="J11" s="10">
        <v>0.2</v>
      </c>
      <c r="K11" s="11">
        <f>Table1[[#This Row],[quantity]]*Table1[[#This Row],[price]]</f>
        <v>700</v>
      </c>
      <c r="L11" s="11">
        <f>Table1[[#This Row],[Gross_sale]]*(1-Table1[[#This Row],[discount]])</f>
        <v>560</v>
      </c>
      <c r="M11" s="11">
        <f>Table1[[#This Row],[Revenue]]-(Table1[[#This Row],[quantity]]*Table1[[#This Row],[cost]])</f>
        <v>60</v>
      </c>
      <c r="N11" s="6">
        <f>Table1[[#This Row],[Profit]]/Table1[[#This Row],[Revenue]]</f>
        <v>0.10714285714285714</v>
      </c>
    </row>
    <row r="12" spans="1:14" x14ac:dyDescent="0.45">
      <c r="A12" s="5">
        <v>1011</v>
      </c>
      <c r="B12" s="7">
        <v>45384</v>
      </c>
      <c r="C12" s="5" t="s">
        <v>10</v>
      </c>
      <c r="D12" s="5" t="s">
        <v>11</v>
      </c>
      <c r="E12" s="5" t="s">
        <v>12</v>
      </c>
      <c r="F12" s="5" t="s">
        <v>13</v>
      </c>
      <c r="G12" s="8">
        <v>1</v>
      </c>
      <c r="H12" s="9">
        <v>800</v>
      </c>
      <c r="I12" s="9">
        <v>600</v>
      </c>
      <c r="J12" s="10">
        <v>0.1</v>
      </c>
      <c r="K12" s="11">
        <f>Table1[[#This Row],[quantity]]*Table1[[#This Row],[price]]</f>
        <v>800</v>
      </c>
      <c r="L12" s="11">
        <f>Table1[[#This Row],[Gross_sale]]*(1-Table1[[#This Row],[discount]])</f>
        <v>720</v>
      </c>
      <c r="M12" s="11">
        <f>Table1[[#This Row],[Revenue]]-(Table1[[#This Row],[quantity]]*Table1[[#This Row],[cost]])</f>
        <v>120</v>
      </c>
      <c r="N12" s="6">
        <f>Table1[[#This Row],[Profit]]/Table1[[#This Row],[Revenue]]</f>
        <v>0.16666666666666666</v>
      </c>
    </row>
    <row r="13" spans="1:14" x14ac:dyDescent="0.45">
      <c r="A13" s="5">
        <v>1012</v>
      </c>
      <c r="B13" s="7">
        <v>45387</v>
      </c>
      <c r="C13" s="5" t="s">
        <v>14</v>
      </c>
      <c r="D13" s="5" t="s">
        <v>15</v>
      </c>
      <c r="E13" s="5" t="s">
        <v>16</v>
      </c>
      <c r="F13" s="5" t="s">
        <v>13</v>
      </c>
      <c r="G13" s="8">
        <v>2</v>
      </c>
      <c r="H13" s="9">
        <v>500</v>
      </c>
      <c r="I13" s="9">
        <v>350</v>
      </c>
      <c r="J13" s="10">
        <v>0.05</v>
      </c>
      <c r="K13" s="11">
        <f>Table1[[#This Row],[quantity]]*Table1[[#This Row],[price]]</f>
        <v>1000</v>
      </c>
      <c r="L13" s="11">
        <f>Table1[[#This Row],[Gross_sale]]*(1-Table1[[#This Row],[discount]])</f>
        <v>950</v>
      </c>
      <c r="M13" s="11">
        <f>Table1[[#This Row],[Revenue]]-(Table1[[#This Row],[quantity]]*Table1[[#This Row],[cost]])</f>
        <v>250</v>
      </c>
      <c r="N13" s="6">
        <f>Table1[[#This Row],[Profit]]/Table1[[#This Row],[Revenue]]</f>
        <v>0.26315789473684209</v>
      </c>
    </row>
    <row r="14" spans="1:14" x14ac:dyDescent="0.45">
      <c r="A14" s="5">
        <v>1013</v>
      </c>
      <c r="B14" s="7">
        <v>45420</v>
      </c>
      <c r="C14" s="5" t="s">
        <v>17</v>
      </c>
      <c r="D14" s="5" t="s">
        <v>18</v>
      </c>
      <c r="E14" s="5" t="s">
        <v>19</v>
      </c>
      <c r="F14" s="5" t="s">
        <v>20</v>
      </c>
      <c r="G14" s="8">
        <v>3</v>
      </c>
      <c r="H14" s="9">
        <v>120</v>
      </c>
      <c r="I14" s="9">
        <v>80</v>
      </c>
      <c r="J14" s="10">
        <v>0.2</v>
      </c>
      <c r="K14" s="11">
        <f>Table1[[#This Row],[quantity]]*Table1[[#This Row],[price]]</f>
        <v>360</v>
      </c>
      <c r="L14" s="11">
        <f>Table1[[#This Row],[Gross_sale]]*(1-Table1[[#This Row],[discount]])</f>
        <v>288</v>
      </c>
      <c r="M14" s="11">
        <f>Table1[[#This Row],[Revenue]]-(Table1[[#This Row],[quantity]]*Table1[[#This Row],[cost]])</f>
        <v>48</v>
      </c>
      <c r="N14" s="6">
        <f>Table1[[#This Row],[Profit]]/Table1[[#This Row],[Revenue]]</f>
        <v>0.16666666666666666</v>
      </c>
    </row>
    <row r="15" spans="1:14" x14ac:dyDescent="0.45">
      <c r="A15" s="5">
        <v>1014</v>
      </c>
      <c r="B15" s="7">
        <v>45424</v>
      </c>
      <c r="C15" s="5" t="s">
        <v>26</v>
      </c>
      <c r="D15" s="5" t="s">
        <v>23</v>
      </c>
      <c r="E15" s="5" t="s">
        <v>27</v>
      </c>
      <c r="F15" s="5" t="s">
        <v>20</v>
      </c>
      <c r="G15" s="8">
        <v>2</v>
      </c>
      <c r="H15" s="9">
        <v>400</v>
      </c>
      <c r="I15" s="9">
        <v>250</v>
      </c>
      <c r="J15" s="10">
        <v>0.1</v>
      </c>
      <c r="K15" s="11">
        <f>Table1[[#This Row],[quantity]]*Table1[[#This Row],[price]]</f>
        <v>800</v>
      </c>
      <c r="L15" s="11">
        <f>Table1[[#This Row],[Gross_sale]]*(1-Table1[[#This Row],[discount]])</f>
        <v>720</v>
      </c>
      <c r="M15" s="11">
        <f>Table1[[#This Row],[Revenue]]-(Table1[[#This Row],[quantity]]*Table1[[#This Row],[cost]])</f>
        <v>220</v>
      </c>
      <c r="N15" s="6">
        <f>Table1[[#This Row],[Profit]]/Table1[[#This Row],[Revenue]]</f>
        <v>0.30555555555555558</v>
      </c>
    </row>
    <row r="16" spans="1:14" x14ac:dyDescent="0.45">
      <c r="A16" s="5">
        <v>1015</v>
      </c>
      <c r="B16" s="7">
        <v>45427</v>
      </c>
      <c r="C16" s="5" t="s">
        <v>29</v>
      </c>
      <c r="D16" s="5" t="s">
        <v>11</v>
      </c>
      <c r="E16" s="5" t="s">
        <v>25</v>
      </c>
      <c r="F16" s="5" t="s">
        <v>13</v>
      </c>
      <c r="G16" s="8">
        <v>1</v>
      </c>
      <c r="H16" s="9">
        <v>250</v>
      </c>
      <c r="I16" s="9">
        <v>180</v>
      </c>
      <c r="J16" s="10">
        <v>0.05</v>
      </c>
      <c r="K16" s="11">
        <f>Table1[[#This Row],[quantity]]*Table1[[#This Row],[price]]</f>
        <v>250</v>
      </c>
      <c r="L16" s="11">
        <f>Table1[[#This Row],[Gross_sale]]*(1-Table1[[#This Row],[discount]])</f>
        <v>237.5</v>
      </c>
      <c r="M16" s="11">
        <f>Table1[[#This Row],[Revenue]]-(Table1[[#This Row],[quantity]]*Table1[[#This Row],[cost]])</f>
        <v>57.5</v>
      </c>
      <c r="N16" s="6">
        <f>Table1[[#This Row],[Profit]]/Table1[[#This Row],[Revenue]]</f>
        <v>0.24210526315789474</v>
      </c>
    </row>
    <row r="17" spans="1:14" x14ac:dyDescent="0.45">
      <c r="A17" s="5">
        <v>1016</v>
      </c>
      <c r="B17" s="7">
        <v>45461</v>
      </c>
      <c r="C17" s="5" t="s">
        <v>22</v>
      </c>
      <c r="D17" s="5" t="s">
        <v>15</v>
      </c>
      <c r="E17" s="5" t="s">
        <v>24</v>
      </c>
      <c r="F17" s="5" t="s">
        <v>13</v>
      </c>
      <c r="G17" s="8">
        <v>5</v>
      </c>
      <c r="H17" s="9">
        <v>150</v>
      </c>
      <c r="I17" s="9">
        <v>90</v>
      </c>
      <c r="J17" s="10">
        <v>0.15</v>
      </c>
      <c r="K17" s="11">
        <f>Table1[[#This Row],[quantity]]*Table1[[#This Row],[price]]</f>
        <v>750</v>
      </c>
      <c r="L17" s="11">
        <f>Table1[[#This Row],[Gross_sale]]*(1-Table1[[#This Row],[discount]])</f>
        <v>637.5</v>
      </c>
      <c r="M17" s="11">
        <f>Table1[[#This Row],[Revenue]]-(Table1[[#This Row],[quantity]]*Table1[[#This Row],[cost]])</f>
        <v>187.5</v>
      </c>
      <c r="N17" s="6">
        <f>Table1[[#This Row],[Profit]]/Table1[[#This Row],[Revenue]]</f>
        <v>0.29411764705882354</v>
      </c>
    </row>
    <row r="18" spans="1:14" x14ac:dyDescent="0.45">
      <c r="A18" s="5">
        <v>1017</v>
      </c>
      <c r="B18" s="7">
        <v>45463</v>
      </c>
      <c r="C18" s="5" t="s">
        <v>10</v>
      </c>
      <c r="D18" s="5" t="s">
        <v>18</v>
      </c>
      <c r="E18" s="5" t="s">
        <v>21</v>
      </c>
      <c r="F18" s="5" t="s">
        <v>20</v>
      </c>
      <c r="G18" s="8">
        <v>2</v>
      </c>
      <c r="H18" s="9">
        <v>300</v>
      </c>
      <c r="I18" s="9">
        <v>200</v>
      </c>
      <c r="J18" s="10">
        <v>0.1</v>
      </c>
      <c r="K18" s="11">
        <f>Table1[[#This Row],[quantity]]*Table1[[#This Row],[price]]</f>
        <v>600</v>
      </c>
      <c r="L18" s="11">
        <f>Table1[[#This Row],[Gross_sale]]*(1-Table1[[#This Row],[discount]])</f>
        <v>540</v>
      </c>
      <c r="M18" s="11">
        <f>Table1[[#This Row],[Revenue]]-(Table1[[#This Row],[quantity]]*Table1[[#This Row],[cost]])</f>
        <v>140</v>
      </c>
      <c r="N18" s="6">
        <f>Table1[[#This Row],[Profit]]/Table1[[#This Row],[Revenue]]</f>
        <v>0.25925925925925924</v>
      </c>
    </row>
    <row r="19" spans="1:14" x14ac:dyDescent="0.45">
      <c r="A19" s="5">
        <v>1018</v>
      </c>
      <c r="B19" s="7">
        <v>45465</v>
      </c>
      <c r="C19" s="5" t="s">
        <v>14</v>
      </c>
      <c r="D19" s="5" t="s">
        <v>23</v>
      </c>
      <c r="E19" s="5" t="s">
        <v>28</v>
      </c>
      <c r="F19" s="5" t="s">
        <v>13</v>
      </c>
      <c r="G19" s="8">
        <v>4</v>
      </c>
      <c r="H19" s="9">
        <v>70</v>
      </c>
      <c r="I19" s="9">
        <v>40</v>
      </c>
      <c r="J19" s="10">
        <v>0.05</v>
      </c>
      <c r="K19" s="11">
        <f>Table1[[#This Row],[quantity]]*Table1[[#This Row],[price]]</f>
        <v>280</v>
      </c>
      <c r="L19" s="11">
        <f>Table1[[#This Row],[Gross_sale]]*(1-Table1[[#This Row],[discount]])</f>
        <v>266</v>
      </c>
      <c r="M19" s="11">
        <f>Table1[[#This Row],[Revenue]]-(Table1[[#This Row],[quantity]]*Table1[[#This Row],[cost]])</f>
        <v>106</v>
      </c>
      <c r="N19" s="6">
        <f>Table1[[#This Row],[Profit]]/Table1[[#This Row],[Revenue]]</f>
        <v>0.39849624060150374</v>
      </c>
    </row>
    <row r="20" spans="1:14" x14ac:dyDescent="0.45">
      <c r="A20" s="5">
        <v>1019</v>
      </c>
      <c r="B20" s="7">
        <v>45468</v>
      </c>
      <c r="C20" s="5" t="s">
        <v>17</v>
      </c>
      <c r="D20" s="5" t="s">
        <v>11</v>
      </c>
      <c r="E20" s="5" t="s">
        <v>30</v>
      </c>
      <c r="F20" s="5" t="s">
        <v>13</v>
      </c>
      <c r="G20" s="8">
        <v>8</v>
      </c>
      <c r="H20" s="9">
        <v>25</v>
      </c>
      <c r="I20" s="9">
        <v>10</v>
      </c>
      <c r="J20" s="10">
        <v>0</v>
      </c>
      <c r="K20" s="11">
        <f>Table1[[#This Row],[quantity]]*Table1[[#This Row],[price]]</f>
        <v>200</v>
      </c>
      <c r="L20" s="11">
        <f>Table1[[#This Row],[Gross_sale]]*(1-Table1[[#This Row],[discount]])</f>
        <v>200</v>
      </c>
      <c r="M20" s="11">
        <f>Table1[[#This Row],[Revenue]]-(Table1[[#This Row],[quantity]]*Table1[[#This Row],[cost]])</f>
        <v>120</v>
      </c>
      <c r="N20" s="6">
        <f>Table1[[#This Row],[Profit]]/Table1[[#This Row],[Revenue]]</f>
        <v>0.6</v>
      </c>
    </row>
    <row r="21" spans="1:14" x14ac:dyDescent="0.45">
      <c r="A21" s="5">
        <v>1020</v>
      </c>
      <c r="B21" s="7">
        <v>45471</v>
      </c>
      <c r="C21" s="5" t="s">
        <v>26</v>
      </c>
      <c r="D21" s="5" t="s">
        <v>15</v>
      </c>
      <c r="E21" s="5" t="s">
        <v>31</v>
      </c>
      <c r="F21" s="5" t="s">
        <v>20</v>
      </c>
      <c r="G21" s="8">
        <v>1</v>
      </c>
      <c r="H21" s="9">
        <v>700</v>
      </c>
      <c r="I21" s="9">
        <v>500</v>
      </c>
      <c r="J21" s="10">
        <v>0.25</v>
      </c>
      <c r="K21" s="11">
        <f>Table1[[#This Row],[quantity]]*Table1[[#This Row],[price]]</f>
        <v>700</v>
      </c>
      <c r="L21" s="11">
        <f>Table1[[#This Row],[Gross_sale]]*(1-Table1[[#This Row],[discount]])</f>
        <v>525</v>
      </c>
      <c r="M21" s="11">
        <f>Table1[[#This Row],[Revenue]]-(Table1[[#This Row],[quantity]]*Table1[[#This Row],[cost]])</f>
        <v>25</v>
      </c>
      <c r="N21" s="6">
        <f>Table1[[#This Row],[Profit]]/Table1[[#This Row],[Revenue]]</f>
        <v>4.7619047619047616E-2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zoomScaleNormal="100" workbookViewId="0">
      <selection activeCell="K38" sqref="K38"/>
    </sheetView>
  </sheetViews>
  <sheetFormatPr defaultRowHeight="14.25" x14ac:dyDescent="0.45"/>
  <cols>
    <col min="1" max="1" width="12.06640625" customWidth="1"/>
    <col min="2" max="2" width="15.6640625" bestFit="1" customWidth="1"/>
    <col min="4" max="4" width="12.06640625" bestFit="1" customWidth="1"/>
    <col min="5" max="5" width="11.3984375" bestFit="1" customWidth="1"/>
    <col min="7" max="7" width="12.06640625" customWidth="1"/>
    <col min="8" max="8" width="15.6640625" bestFit="1" customWidth="1"/>
    <col min="10" max="10" width="12.06640625" bestFit="1" customWidth="1"/>
    <col min="11" max="11" width="15.6640625" bestFit="1" customWidth="1"/>
  </cols>
  <sheetData>
    <row r="1" spans="1:11" x14ac:dyDescent="0.45">
      <c r="A1" s="2" t="s">
        <v>37</v>
      </c>
      <c r="B1" t="s">
        <v>36</v>
      </c>
      <c r="D1" s="2" t="s">
        <v>37</v>
      </c>
      <c r="E1" t="s">
        <v>39</v>
      </c>
      <c r="G1" s="2" t="s">
        <v>37</v>
      </c>
      <c r="H1" t="s">
        <v>36</v>
      </c>
      <c r="J1" s="2" t="s">
        <v>37</v>
      </c>
      <c r="K1" t="s">
        <v>36</v>
      </c>
    </row>
    <row r="2" spans="1:11" x14ac:dyDescent="0.45">
      <c r="A2" s="4" t="s">
        <v>19</v>
      </c>
      <c r="B2" s="1">
        <v>960</v>
      </c>
      <c r="D2" s="4" t="s">
        <v>11</v>
      </c>
      <c r="E2" s="1">
        <v>742.5</v>
      </c>
      <c r="G2" s="4" t="s">
        <v>20</v>
      </c>
      <c r="H2" s="1">
        <v>4460</v>
      </c>
      <c r="J2" s="4" t="s">
        <v>40</v>
      </c>
      <c r="K2" s="1">
        <v>3700</v>
      </c>
    </row>
    <row r="3" spans="1:11" x14ac:dyDescent="0.45">
      <c r="A3" s="4" t="s">
        <v>27</v>
      </c>
      <c r="B3" s="1">
        <v>1200</v>
      </c>
      <c r="D3" s="4" t="s">
        <v>18</v>
      </c>
      <c r="E3" s="1">
        <v>370</v>
      </c>
      <c r="G3" s="4" t="s">
        <v>13</v>
      </c>
      <c r="H3" s="1">
        <v>8150</v>
      </c>
      <c r="J3" s="4" t="s">
        <v>41</v>
      </c>
      <c r="K3" s="1">
        <v>1400</v>
      </c>
    </row>
    <row r="4" spans="1:11" x14ac:dyDescent="0.45">
      <c r="A4" s="4" t="s">
        <v>24</v>
      </c>
      <c r="B4" s="1">
        <v>1350</v>
      </c>
      <c r="D4" s="4" t="s">
        <v>23</v>
      </c>
      <c r="E4" s="1">
        <v>665</v>
      </c>
      <c r="G4" s="4" t="s">
        <v>38</v>
      </c>
      <c r="H4" s="1">
        <v>12610</v>
      </c>
      <c r="J4" s="4" t="s">
        <v>44</v>
      </c>
      <c r="K4" s="1">
        <v>1070</v>
      </c>
    </row>
    <row r="5" spans="1:11" x14ac:dyDescent="0.45">
      <c r="A5" s="4" t="s">
        <v>28</v>
      </c>
      <c r="B5" s="1">
        <v>700</v>
      </c>
      <c r="D5" s="4" t="s">
        <v>15</v>
      </c>
      <c r="E5" s="1">
        <v>997.5</v>
      </c>
      <c r="J5" s="4" t="s">
        <v>45</v>
      </c>
      <c r="K5" s="1">
        <v>2500</v>
      </c>
    </row>
    <row r="6" spans="1:11" x14ac:dyDescent="0.45">
      <c r="A6" s="4" t="s">
        <v>12</v>
      </c>
      <c r="B6" s="1">
        <v>2400</v>
      </c>
      <c r="D6" s="4" t="s">
        <v>38</v>
      </c>
      <c r="E6" s="1">
        <v>2775</v>
      </c>
      <c r="J6" s="4" t="s">
        <v>46</v>
      </c>
      <c r="K6" s="1">
        <v>1410</v>
      </c>
    </row>
    <row r="7" spans="1:11" x14ac:dyDescent="0.45">
      <c r="A7" s="4" t="s">
        <v>25</v>
      </c>
      <c r="B7" s="1">
        <v>750</v>
      </c>
      <c r="J7" s="4" t="s">
        <v>47</v>
      </c>
      <c r="K7" s="1">
        <v>2530</v>
      </c>
    </row>
    <row r="8" spans="1:11" x14ac:dyDescent="0.45">
      <c r="A8" s="4" t="s">
        <v>30</v>
      </c>
      <c r="B8" s="1">
        <v>450</v>
      </c>
      <c r="J8" s="4" t="s">
        <v>38</v>
      </c>
      <c r="K8" s="1">
        <v>12610</v>
      </c>
    </row>
    <row r="9" spans="1:11" x14ac:dyDescent="0.45">
      <c r="A9" s="4" t="s">
        <v>16</v>
      </c>
      <c r="B9" s="1">
        <v>2500</v>
      </c>
    </row>
    <row r="10" spans="1:11" x14ac:dyDescent="0.45">
      <c r="A10" s="4" t="s">
        <v>31</v>
      </c>
      <c r="B10" s="1">
        <v>1400</v>
      </c>
    </row>
    <row r="11" spans="1:11" x14ac:dyDescent="0.45">
      <c r="A11" s="4" t="s">
        <v>21</v>
      </c>
      <c r="B11" s="1">
        <v>900</v>
      </c>
    </row>
    <row r="12" spans="1:11" x14ac:dyDescent="0.45">
      <c r="A12" s="4" t="s">
        <v>38</v>
      </c>
      <c r="B12" s="1">
        <v>12610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2"/>
  <sheetViews>
    <sheetView showGridLines="0" zoomScale="110" zoomScaleNormal="110" workbookViewId="0">
      <selection activeCell="W19" sqref="W19"/>
    </sheetView>
  </sheetViews>
  <sheetFormatPr defaultRowHeight="14.25" x14ac:dyDescent="0.45"/>
  <cols>
    <col min="5" max="5" width="14.53125" bestFit="1" customWidth="1"/>
    <col min="8" max="8" width="10.796875" bestFit="1" customWidth="1"/>
  </cols>
  <sheetData>
    <row r="2" spans="1:3" s="3" customFormat="1" ht="51" customHeight="1" x14ac:dyDescent="0.65">
      <c r="A2" s="16" t="s">
        <v>42</v>
      </c>
      <c r="B2" s="16"/>
      <c r="C2" s="16"/>
    </row>
    <row r="3" spans="1:3" x14ac:dyDescent="0.45">
      <c r="A3" s="20">
        <f>SUM(Table1[Revenue])</f>
        <v>11245</v>
      </c>
      <c r="B3" s="20"/>
      <c r="C3" s="20"/>
    </row>
    <row r="4" spans="1:3" ht="21" customHeight="1" x14ac:dyDescent="0.45">
      <c r="A4" s="20"/>
      <c r="B4" s="20"/>
      <c r="C4" s="20"/>
    </row>
    <row r="8" spans="1:3" ht="52.15" customHeight="1" x14ac:dyDescent="0.45">
      <c r="A8" s="17" t="s">
        <v>43</v>
      </c>
      <c r="B8" s="17"/>
      <c r="C8" s="17"/>
    </row>
    <row r="9" spans="1:3" ht="32.25" customHeight="1" x14ac:dyDescent="0.45">
      <c r="A9" s="19">
        <f>SUM(Table1[Profit])</f>
        <v>2775</v>
      </c>
      <c r="B9" s="19"/>
      <c r="C9" s="19"/>
    </row>
    <row r="14" spans="1:3" ht="57.4" customHeight="1" x14ac:dyDescent="0.45">
      <c r="A14" s="18" t="s">
        <v>53</v>
      </c>
      <c r="B14" s="18"/>
      <c r="C14" s="18"/>
    </row>
    <row r="15" spans="1:3" x14ac:dyDescent="0.45">
      <c r="A15" s="12">
        <f>A9/A3</f>
        <v>0.246776345042241</v>
      </c>
      <c r="B15" s="12"/>
      <c r="C15" s="12"/>
    </row>
    <row r="16" spans="1:3" ht="21" customHeight="1" x14ac:dyDescent="0.45">
      <c r="A16" s="12"/>
      <c r="B16" s="12"/>
      <c r="C16" s="12"/>
    </row>
    <row r="18" spans="1:4" x14ac:dyDescent="0.45">
      <c r="A18" s="15" t="s">
        <v>48</v>
      </c>
      <c r="B18" s="15"/>
      <c r="C18" s="15"/>
    </row>
    <row r="19" spans="1:4" x14ac:dyDescent="0.45">
      <c r="A19" s="14" t="s">
        <v>52</v>
      </c>
      <c r="B19" s="14"/>
      <c r="C19" s="14"/>
      <c r="D19" s="14"/>
    </row>
    <row r="20" spans="1:4" x14ac:dyDescent="0.45">
      <c r="A20" s="13" t="s">
        <v>49</v>
      </c>
      <c r="B20" s="13"/>
      <c r="C20" s="13"/>
      <c r="D20" s="13"/>
    </row>
    <row r="21" spans="1:4" x14ac:dyDescent="0.45">
      <c r="A21" s="14" t="s">
        <v>50</v>
      </c>
      <c r="B21" s="14"/>
      <c r="C21" s="14"/>
    </row>
    <row r="22" spans="1:4" x14ac:dyDescent="0.45">
      <c r="A22" s="14" t="s">
        <v>51</v>
      </c>
      <c r="B22" s="14"/>
      <c r="C22" s="14"/>
      <c r="D22" s="14"/>
    </row>
  </sheetData>
  <mergeCells count="11">
    <mergeCell ref="A2:C2"/>
    <mergeCell ref="A8:C8"/>
    <mergeCell ref="A14:C14"/>
    <mergeCell ref="A9:C9"/>
    <mergeCell ref="A3:C4"/>
    <mergeCell ref="A15:C16"/>
    <mergeCell ref="A20:D20"/>
    <mergeCell ref="A21:C21"/>
    <mergeCell ref="A22:D22"/>
    <mergeCell ref="A19:D19"/>
    <mergeCell ref="A18:C1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Sales_Analysis</vt:lpstr>
      <vt:lpstr>pivot_table</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Mohamed_Elbaz</dc:creator>
  <cp:lastModifiedBy>Mohamed_Elbaz</cp:lastModifiedBy>
  <dcterms:created xsi:type="dcterms:W3CDTF">2026-04-26T14:43:10Z</dcterms:created>
  <dcterms:modified xsi:type="dcterms:W3CDTF">2026-04-26T17:25:20Z</dcterms:modified>
</cp:coreProperties>
</file>